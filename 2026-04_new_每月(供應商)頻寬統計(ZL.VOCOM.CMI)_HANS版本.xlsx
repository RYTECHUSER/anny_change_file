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HANS Traffic" state="visible" r:id="rId4"/>
  </sheets>
  <calcPr calcId="171027"/>
</workbook>
</file>

<file path=xl/sharedStrings.xml><?xml version="1.0" encoding="utf-8"?>
<sst xmlns="http://schemas.openxmlformats.org/spreadsheetml/2006/main" count="65" uniqueCount="51">
  <si>
    <t>Zenlayer</t>
  </si>
  <si>
    <r>
      <t>Peak 95%</t>
    </r>
    <r>
      <rPr>
        <charset val="136"/>
        <color rgb="FFFF0000"/>
        <family val="2"/>
        <sz val="10"/>
        <rFont val="Microsoft JhengHei"/>
      </rPr>
      <t xml:space="preserve"> (Mbps)</t>
    </r>
  </si>
  <si>
    <t>2026年</t>
  </si>
  <si>
    <t>地區</t>
  </si>
  <si>
    <t>線路</t>
  </si>
  <si>
    <t>ZL</t>
  </si>
  <si>
    <t>commit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</si>
  <si>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</si>
  <si>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</si>
  <si>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</si>
  <si>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</si>
  <si>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</si>
  <si>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</si>
  <si>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</si>
  <si>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</si>
  <si>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</si>
  <si>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</si>
  <si>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</si>
  <si>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</si>
  <si>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HK</t>
  </si>
  <si>
    <t>China</t>
  </si>
  <si>
    <t>香港回國</t>
  </si>
  <si>
    <t>Zenlayer_香港回國總帶寬</t>
  </si>
  <si>
    <t>350M burst 900M</t>
  </si>
  <si>
    <t>HANSCDN_10M_HK_Zl_CN_line1</t>
  </si>
  <si>
    <t>(1) 10M burst 50M</t>
  </si>
  <si>
    <t>HANSCDN_10M_HK_Zl_CN_line2</t>
  </si>
  <si>
    <t>(2) 10M burst 50M</t>
  </si>
  <si>
    <t>Global</t>
  </si>
  <si>
    <t>香港國際</t>
  </si>
  <si>
    <t>Zenlayer_香港國際總帶寬</t>
  </si>
  <si>
    <t>2G burst 20G</t>
  </si>
  <si>
    <t>HANSCDN_HK_Zl_global_100M</t>
  </si>
  <si>
    <t>100M burst 1G</t>
  </si>
  <si>
    <t>JP</t>
  </si>
  <si>
    <t>日本回國</t>
  </si>
  <si>
    <t>Zenlayer_日本回國帶寬</t>
  </si>
  <si>
    <t>1G burst 2G</t>
  </si>
  <si>
    <t>HANSCDN_20M_JP_Zl_CN</t>
  </si>
  <si>
    <t>20M burst 100M</t>
  </si>
  <si>
    <t>日本國際</t>
  </si>
  <si>
    <t>Zenlayer_日本國際帶寬</t>
  </si>
  <si>
    <t>5G burst 50G</t>
  </si>
  <si>
    <t>遠傳(CMI)</t>
  </si>
  <si>
    <t xml:space="preserve">Peak 95% </t>
  </si>
  <si>
    <t>規格</t>
  </si>
  <si>
    <t>Zenlayer_CMI(待更正)</t>
  </si>
  <si>
    <r>
      <rPr>
        <charset val="136"/>
        <color rgb="FF000000"/>
        <family val="2"/>
        <sz val="10"/>
        <rFont val="Microsoft JhengHei"/>
      </rPr>
      <t>100M</t>
    </r>
    <r>
      <rPr>
        <charset val="136"/>
        <color rgb="FF000000"/>
        <family val="2"/>
        <sz val="10"/>
        <rFont val="Microsoft JhengHei"/>
      </rPr>
      <t xml:space="preserve"> Burst 2G</t>
    </r>
  </si>
  <si>
    <t>VOCOM</t>
  </si>
  <si>
    <t>HANSCDN_10M_HK_VCOM</t>
  </si>
  <si>
    <t>10M Burst 50M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</si>
</sst>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(#,##0.00)"/>
    <numFmt numFmtId="165" formatCode="#,##0;(#,##0)"/>
  </numFmts>
  <fonts count="7" x14ac:knownFonts="1">
    <font>
      <color theme="1"/>
      <family val="2"/>
      <scheme val="minor"/>
      <sz val="11"/>
      <name val="Calibri"/>
    </font>
    <font>
      <b/>
      <charset val="136"/>
      <color rgb="FF4472C4"/>
      <family val="2"/>
      <sz val="10"/>
      <name val="Microsoft JhengHei"/>
    </font>
    <font>
      <charset val="136"/>
      <color theme="1"/>
      <family val="2"/>
      <sz val="10"/>
      <name val="Microsoft JhengHei"/>
    </font>
    <font>
      <b/>
      <charset val="136"/>
      <color theme="1"/>
      <family val="2"/>
      <sz val="10"/>
      <name val="Microsoft JhengHei"/>
    </font>
    <font>
      <charset val="136"/>
      <color rgb="FF000000"/>
      <family val="2"/>
      <sz val="10"/>
      <name val="Microsoft JhengHei"/>
    </font>
    <font>
      <charset val="136"/>
      <color rgb="FFFF0000"/>
      <family val="2"/>
      <sz val="10"/>
      <name val="Microsoft JhengHei"/>
    </font>
    <font>
      <family val="2"/>
      <sz val="12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6FA8DC"/>
        <bgColor rgb="FF6FA8DC"/>
      </patternFill>
    </fill>
    <fill>
      <patternFill patternType="solid">
        <fgColor rgb="FFD9E2F3"/>
        <bgColor rgb="FFD9E2F3"/>
      </patternFill>
    </fill>
    <fill>
      <patternFill patternType="solid">
        <fgColor rgb="FFECECEC"/>
        <bgColor rgb="FFECECEC"/>
      </patternFill>
    </fill>
    <fill>
      <patternFill patternType="solid">
        <fgColor rgb="FFFFD965"/>
        <bgColor rgb="FFFFD965"/>
      </patternFill>
    </fill>
    <fill>
      <patternFill patternType="solid">
        <fgColor theme="7"/>
        <bgColor theme="7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C5E0B3"/>
        <bgColor rgb="FFC5E0B3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vertical="center"/>
    </xf>
    <xf numFmtId="0" fontId="2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2" fillId="5" borderId="8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vertical="center"/>
    </xf>
    <xf numFmtId="0" fontId="2" fillId="5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vertical="center"/>
    </xf>
    <xf numFmtId="2" fontId="4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4" fillId="12" borderId="9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right" vertical="center"/>
    </xf>
    <xf numFmtId="1" fontId="2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80"/>
  <sheetViews>
    <sheetView workbookViewId="0" showGridLines="0" zoomScale="100" zoomScaleNormal="100">
      <pane xSplit="6" ySplit="1" topLeftCell="G2" activePane="bottomRight" state="frozen"/>
      <selection pane="bottomRight" activeCell="E1" sqref="E1"/>
    </sheetView>
  </sheetViews>
  <sheetFormatPr defaultRowHeight="15" outlineLevelRow="0" outlineLevelCol="0" x14ac:dyDescent="0" defaultColWidth="11.19921875"/>
  <cols>
    <col min="1" max="1" width="5.19921875" customWidth="1"/>
    <col min="2" max="2" width="8" customWidth="1"/>
    <col min="3" max="3" width="8.296875" hidden="1" customWidth="1"/>
    <col min="4" max="4" width="27.8984375" customWidth="1"/>
    <col min="5" max="5" width="15.59765625" customWidth="1"/>
    <col min="6" max="6" width="19.59765625" hidden="1" customWidth="1"/>
    <col min="7" max="7" width="8.19921875" customWidth="1"/>
    <col min="8" max="8" width="8" customWidth="1"/>
    <col min="9" max="9" width="8.19921875" customWidth="1"/>
    <col min="10" max="23" width="6.8984375" customWidth="1"/>
  </cols>
  <sheetData>
    <row r="1" ht="16.5" customHeight="1" spans="1:23" x14ac:dyDescent="0.25">
      <c r="A1" s="1" t="s">
        <v>0</v>
      </c>
      <c r="B1" s="2"/>
      <c r="C1" s="2"/>
      <c r="D1" s="2"/>
      <c r="E1" s="2" t="s">
        <v>1</v>
      </c>
      <c r="F1" s="2"/>
      <c r="G1" s="3" t="s">
        <v>2</v>
      </c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2"/>
      <c r="T1" s="2"/>
      <c r="U1" s="2"/>
      <c r="V1" s="2"/>
      <c r="W1" s="2"/>
    </row>
    <row r="2" ht="15.6" customHeight="1" spans="1:23" x14ac:dyDescent="0.25">
      <c r="A2" s="4" t="s">
        <v>3</v>
      </c>
      <c r="B2" s="4" t="s">
        <v>4</v>
      </c>
      <c r="C2" s="4" t="s">
        <v>5</v>
      </c>
      <c r="D2" s="5"/>
      <c r="E2" s="5" t="s">
        <v>6</v>
      </c>
      <c r="F2" s="6"/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2"/>
      <c r="T2" s="2"/>
      <c r="U2" s="2"/>
      <c r="V2" s="2"/>
      <c r="W2" s="2"/>
    </row>
    <row r="3" ht="13.5" customHeight="1" spans="1:23" x14ac:dyDescent="0.25">
      <c r="A3" s="8" t="s">
        <v>19</v>
      </c>
      <c r="B3" s="8" t="s">
        <v>20</v>
      </c>
      <c r="C3" s="8" t="s">
        <v>21</v>
      </c>
      <c r="D3" s="9" t="s">
        <v>22</v>
      </c>
      <c r="E3" s="10" t="s">
        <v>23</v>
      </c>
      <c r="F3" s="11"/>
      <c r="G3" s="12">
        <v>371.49</v>
      </c>
      <c r="H3" s="12">
        <v>156.43</v>
      </c>
      <c r="I3" s="12">
        <v>132.08</v>
      </c>
      <c r="J3" s="12">
        <v>259.48</v>
      </c>
      <c r="K3" s="12"/>
      <c r="L3" s="12"/>
      <c r="M3" s="12"/>
      <c r="N3" s="12"/>
      <c r="O3" s="12"/>
      <c r="P3" s="12"/>
      <c r="Q3" s="12"/>
      <c r="R3" s="12"/>
      <c r="S3" s="2"/>
      <c r="T3" s="2"/>
      <c r="U3" s="2"/>
      <c r="V3" s="2"/>
      <c r="W3" s="2"/>
    </row>
    <row r="4" ht="13.5" customHeight="1" spans="1:23" x14ac:dyDescent="0.25">
      <c r="A4" s="13"/>
      <c r="B4" s="13"/>
      <c r="C4" s="14"/>
      <c r="D4" s="15" t="s">
        <v>24</v>
      </c>
      <c r="E4" s="16" t="s">
        <v>25</v>
      </c>
      <c r="F4" s="17"/>
      <c r="G4" s="12">
        <v>1.49</v>
      </c>
      <c r="H4" s="12">
        <f>383.77/1000000</f>
        <v>0.00038376999999999997</v>
      </c>
      <c r="I4" s="12">
        <f>308.44/1000</f>
        <v>0.30844</v>
      </c>
      <c r="J4" s="18">
        <v>12.14</v>
      </c>
      <c r="K4" s="12"/>
      <c r="L4" s="12"/>
      <c r="M4" s="12"/>
      <c r="N4" s="12"/>
      <c r="O4" s="12"/>
      <c r="P4" s="12"/>
      <c r="Q4" s="12"/>
      <c r="R4" s="12"/>
      <c r="S4" s="2"/>
      <c r="T4" s="2"/>
      <c r="U4" s="2"/>
      <c r="V4" s="2"/>
      <c r="W4" s="2"/>
    </row>
    <row r="5" ht="13.5" customHeight="1" spans="1:23" x14ac:dyDescent="0.25">
      <c r="A5" s="13"/>
      <c r="B5" s="14"/>
      <c r="C5" s="19"/>
      <c r="D5" s="20" t="s">
        <v>26</v>
      </c>
      <c r="E5" s="16" t="s">
        <v>27</v>
      </c>
      <c r="F5" s="21"/>
      <c r="G5" s="12">
        <v>5</v>
      </c>
      <c r="H5" s="12">
        <v>5.25</v>
      </c>
      <c r="I5" s="12">
        <v>6.43</v>
      </c>
      <c r="J5" s="12">
        <v>5.57</v>
      </c>
      <c r="K5" s="12"/>
      <c r="L5" s="12"/>
      <c r="M5" s="12"/>
      <c r="N5" s="12"/>
      <c r="O5" s="12"/>
      <c r="P5" s="12"/>
      <c r="Q5" s="12"/>
      <c r="R5" s="12"/>
      <c r="S5" s="2"/>
      <c r="T5" s="2"/>
      <c r="U5" s="2"/>
      <c r="V5" s="2"/>
      <c r="W5" s="2"/>
    </row>
    <row r="6" ht="13.5" customHeight="1" spans="1:23" x14ac:dyDescent="0.25">
      <c r="A6" s="13"/>
      <c r="B6" s="8" t="s">
        <v>28</v>
      </c>
      <c r="C6" s="22" t="s">
        <v>29</v>
      </c>
      <c r="D6" s="15" t="s">
        <v>30</v>
      </c>
      <c r="E6" s="23" t="s">
        <v>31</v>
      </c>
      <c r="F6" s="24"/>
      <c r="G6" s="12">
        <v>1306.19</v>
      </c>
      <c r="H6" s="12">
        <v>1310</v>
      </c>
      <c r="I6" s="12">
        <v>1330</v>
      </c>
      <c r="J6" s="18">
        <v>201.41</v>
      </c>
      <c r="K6" s="12"/>
      <c r="L6" s="12"/>
      <c r="M6" s="12"/>
      <c r="N6" s="12"/>
      <c r="O6" s="12"/>
      <c r="P6" s="12"/>
      <c r="Q6" s="12"/>
      <c r="R6" s="12"/>
      <c r="S6" s="2"/>
      <c r="T6" s="2"/>
      <c r="U6" s="2"/>
      <c r="V6" s="2"/>
      <c r="W6" s="2"/>
    </row>
    <row r="7" ht="13.5" customHeight="1" spans="1:23" x14ac:dyDescent="0.25">
      <c r="A7" s="25"/>
      <c r="B7" s="25"/>
      <c r="C7" s="26"/>
      <c r="D7" s="27" t="s">
        <v>32</v>
      </c>
      <c r="E7" s="28" t="s">
        <v>33</v>
      </c>
      <c r="F7" s="29"/>
      <c r="G7" s="30">
        <f>799.17/1000</f>
        <v>0.7991699999999999</v>
      </c>
      <c r="H7" s="30">
        <v>1.31</v>
      </c>
      <c r="I7" s="30">
        <v>1.05</v>
      </c>
      <c r="J7" s="30">
        <v>0.1069</v>
      </c>
      <c r="K7" s="30"/>
      <c r="L7" s="30"/>
      <c r="M7" s="30"/>
      <c r="N7" s="30"/>
      <c r="O7" s="30"/>
      <c r="P7" s="30"/>
      <c r="Q7" s="30"/>
      <c r="R7" s="30"/>
      <c r="S7" s="2"/>
      <c r="T7" s="2"/>
      <c r="U7" s="2"/>
      <c r="V7" s="2"/>
      <c r="W7" s="2"/>
    </row>
    <row r="8" ht="13.5" customHeight="1" spans="1:23" x14ac:dyDescent="0.25">
      <c r="A8" s="31" t="s">
        <v>34</v>
      </c>
      <c r="B8" s="31" t="s">
        <v>20</v>
      </c>
      <c r="C8" s="19" t="s">
        <v>35</v>
      </c>
      <c r="D8" s="32" t="s">
        <v>36</v>
      </c>
      <c r="E8" s="33" t="s">
        <v>37</v>
      </c>
      <c r="F8" s="34"/>
      <c r="G8" s="35">
        <v>183.33</v>
      </c>
      <c r="H8" s="35">
        <v>149.77</v>
      </c>
      <c r="I8" s="35">
        <v>158.27</v>
      </c>
      <c r="J8" s="35">
        <v>171.49</v>
      </c>
      <c r="K8" s="35"/>
      <c r="L8" s="35"/>
      <c r="M8" s="35"/>
      <c r="N8" s="35"/>
      <c r="O8" s="35"/>
      <c r="P8" s="35"/>
      <c r="Q8" s="35"/>
      <c r="R8" s="35"/>
      <c r="S8" s="2"/>
      <c r="T8" s="2"/>
      <c r="U8" s="2"/>
      <c r="V8" s="2"/>
      <c r="W8" s="2"/>
    </row>
    <row r="9" ht="13.5" customHeight="1" spans="1:23" x14ac:dyDescent="0.25">
      <c r="A9" s="13"/>
      <c r="B9" s="14"/>
      <c r="C9" s="22"/>
      <c r="D9" s="15" t="s">
        <v>38</v>
      </c>
      <c r="E9" s="16" t="s">
        <v>39</v>
      </c>
      <c r="F9" s="24"/>
      <c r="G9" s="36">
        <v>9.7</v>
      </c>
      <c r="H9" s="36">
        <v>8.34</v>
      </c>
      <c r="I9" s="36">
        <v>7.94</v>
      </c>
      <c r="J9" s="36">
        <v>7.8</v>
      </c>
      <c r="K9" s="36"/>
      <c r="L9" s="36"/>
      <c r="M9" s="37"/>
      <c r="N9" s="36"/>
      <c r="O9" s="36"/>
      <c r="P9" s="36"/>
      <c r="Q9" s="36"/>
      <c r="R9" s="36"/>
      <c r="S9" s="2"/>
      <c r="T9" s="2"/>
      <c r="U9" s="2"/>
      <c r="V9" s="2"/>
      <c r="W9" s="2"/>
    </row>
    <row r="10" ht="13.5" customHeight="1" spans="1:23" x14ac:dyDescent="0.25">
      <c r="A10" s="14"/>
      <c r="B10" s="22" t="s">
        <v>28</v>
      </c>
      <c r="C10" s="22" t="s">
        <v>40</v>
      </c>
      <c r="D10" s="15" t="s">
        <v>41</v>
      </c>
      <c r="E10" s="16" t="s">
        <v>42</v>
      </c>
      <c r="F10" s="24"/>
      <c r="G10" s="12">
        <v>521.81</v>
      </c>
      <c r="H10" s="12">
        <v>498.96</v>
      </c>
      <c r="I10" s="12">
        <v>526.61</v>
      </c>
      <c r="J10" s="12">
        <v>512.46</v>
      </c>
      <c r="K10" s="12"/>
      <c r="L10" s="12"/>
      <c r="M10" s="12"/>
      <c r="N10" s="12"/>
      <c r="O10" s="12"/>
      <c r="P10" s="12"/>
      <c r="Q10" s="12"/>
      <c r="R10" s="12"/>
      <c r="S10" s="2"/>
      <c r="T10" s="2"/>
      <c r="U10" s="2"/>
      <c r="V10" s="2"/>
      <c r="W10" s="2"/>
    </row>
    <row r="11" ht="16.5" customHeight="1" spans="1:23" x14ac:dyDescent="0.25">
      <c r="A11" s="38"/>
      <c r="B11" s="39"/>
      <c r="C11" s="39"/>
      <c r="D11" s="39"/>
      <c r="E11" s="39"/>
      <c r="F11" s="39"/>
      <c r="G11" s="4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16.5" customHeight="1" spans="1:23" x14ac:dyDescent="0.25">
      <c r="A12" s="1" t="s">
        <v>43</v>
      </c>
      <c r="B12" s="2"/>
      <c r="C12" s="2"/>
      <c r="D12" s="2"/>
      <c r="E12" s="2" t="s">
        <v>44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t="16.5" customHeight="1" spans="1:23" x14ac:dyDescent="0.25">
      <c r="A13" s="41" t="s">
        <v>3</v>
      </c>
      <c r="B13" s="41" t="s">
        <v>4</v>
      </c>
      <c r="C13" s="41" t="s">
        <v>5</v>
      </c>
      <c r="D13" s="41"/>
      <c r="E13" s="41" t="s">
        <v>45</v>
      </c>
      <c r="F13" s="41"/>
      <c r="G13" s="42" t="str">
        <f>G2</f>
        <v>1月</v>
      </c>
      <c r="H13" s="42" t="str">
        <f t="shared" ref="H13:R13" si="0">H2</f>
        <v>2月</v>
      </c>
      <c r="I13" s="42" t="str">
        <f t="shared" si="0"/>
        <v>3月</v>
      </c>
      <c r="J13" s="42" t="str">
        <f t="shared" si="0"/>
        <v>4月</v>
      </c>
      <c r="K13" s="42" t="str">
        <f t="shared" si="0"/>
        <v>5月</v>
      </c>
      <c r="L13" s="42" t="str">
        <f t="shared" si="0"/>
        <v>6月</v>
      </c>
      <c r="M13" s="42" t="str">
        <f t="shared" si="0"/>
        <v>7月</v>
      </c>
      <c r="N13" s="42" t="str">
        <f t="shared" si="0"/>
        <v>8月</v>
      </c>
      <c r="O13" s="42" t="str">
        <f t="shared" si="0"/>
        <v>9月</v>
      </c>
      <c r="P13" s="42" t="str">
        <f t="shared" si="0"/>
        <v>10月</v>
      </c>
      <c r="Q13" s="42" t="str">
        <f t="shared" si="0"/>
        <v>11月</v>
      </c>
      <c r="R13" s="42" t="str">
        <f t="shared" si="0"/>
        <v>12月</v>
      </c>
      <c r="S13" s="2"/>
      <c r="T13" s="2"/>
      <c r="U13" s="2"/>
      <c r="V13" s="2"/>
      <c r="W13" s="2"/>
    </row>
    <row r="14" ht="16.5" customHeight="1" spans="1:23" x14ac:dyDescent="0.25">
      <c r="A14" s="43" t="s">
        <v>19</v>
      </c>
      <c r="B14" s="43" t="s">
        <v>20</v>
      </c>
      <c r="C14" s="24"/>
      <c r="D14" s="44" t="s">
        <v>46</v>
      </c>
      <c r="E14" s="45" t="s">
        <v>47</v>
      </c>
      <c r="F14" s="11"/>
      <c r="G14" s="12">
        <v>82.95</v>
      </c>
      <c r="H14" s="12">
        <v>87.71</v>
      </c>
      <c r="I14" s="12">
        <v>72.25</v>
      </c>
      <c r="J14" s="12">
        <v>63.97</v>
      </c>
      <c r="K14" s="12"/>
      <c r="L14" s="12"/>
      <c r="M14" s="12"/>
      <c r="N14" s="12"/>
      <c r="O14" s="12"/>
      <c r="P14" s="12"/>
      <c r="Q14" s="12"/>
      <c r="R14" s="12"/>
      <c r="S14" s="2"/>
      <c r="T14" s="2"/>
      <c r="U14" s="2"/>
      <c r="V14" s="2"/>
      <c r="W14" s="2"/>
    </row>
    <row r="15" ht="16.5" customHeight="1" spans="1:23" x14ac:dyDescent="0.25">
      <c r="A15" s="2"/>
      <c r="B15" s="39"/>
      <c r="C15" s="39"/>
      <c r="D15" s="46"/>
      <c r="E15" s="46"/>
      <c r="F15" s="46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2"/>
      <c r="T15" s="2"/>
      <c r="U15" s="2"/>
      <c r="V15" s="2"/>
      <c r="W15" s="2"/>
    </row>
    <row r="16" ht="16.5" customHeight="1" spans="1:23" x14ac:dyDescent="0.25">
      <c r="A16" s="1" t="s">
        <v>48</v>
      </c>
      <c r="B16" s="2"/>
      <c r="C16" s="2"/>
      <c r="D16" s="2"/>
      <c r="E16" s="2" t="s">
        <v>44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16.5" customHeight="1" spans="1:23" x14ac:dyDescent="0.25">
      <c r="A17" s="47" t="s">
        <v>3</v>
      </c>
      <c r="B17" s="47" t="s">
        <v>4</v>
      </c>
      <c r="C17" s="47" t="s">
        <v>5</v>
      </c>
      <c r="D17" s="48"/>
      <c r="E17" s="48" t="s">
        <v>45</v>
      </c>
      <c r="F17" s="48"/>
      <c r="G17" s="49" t="str">
        <f>G2</f>
        <v>1月</v>
      </c>
      <c r="H17" s="49" t="str">
        <f t="shared" ref="H17:Q17" si="1">H2</f>
        <v>2月</v>
      </c>
      <c r="I17" s="49" t="str">
        <f t="shared" si="1"/>
        <v>3月</v>
      </c>
      <c r="J17" s="49" t="str">
        <f t="shared" si="1"/>
        <v>4月</v>
      </c>
      <c r="K17" s="49" t="str">
        <f t="shared" si="1"/>
        <v>5月</v>
      </c>
      <c r="L17" s="49" t="str">
        <f t="shared" si="1"/>
        <v>6月</v>
      </c>
      <c r="M17" s="49" t="str">
        <f t="shared" si="1"/>
        <v>7月</v>
      </c>
      <c r="N17" s="49" t="str">
        <f t="shared" si="1"/>
        <v>8月</v>
      </c>
      <c r="O17" s="49" t="str">
        <f t="shared" si="1"/>
        <v>9月</v>
      </c>
      <c r="P17" s="49" t="str">
        <f t="shared" si="1"/>
        <v>10月</v>
      </c>
      <c r="Q17" s="49" t="str">
        <f t="shared" si="1"/>
        <v>11月</v>
      </c>
      <c r="R17" s="49" t="str">
        <f>R2</f>
        <v>12月</v>
      </c>
      <c r="S17" s="2"/>
      <c r="T17" s="2"/>
      <c r="U17" s="2"/>
      <c r="V17" s="2"/>
      <c r="W17" s="2"/>
    </row>
    <row r="18" ht="16.5" customHeight="1" spans="1:23" x14ac:dyDescent="0.25">
      <c r="A18" s="50" t="s">
        <v>19</v>
      </c>
      <c r="B18" s="50" t="s">
        <v>20</v>
      </c>
      <c r="C18" s="51"/>
      <c r="D18" s="52" t="s">
        <v>49</v>
      </c>
      <c r="E18" s="53" t="s">
        <v>50</v>
      </c>
      <c r="F18" s="51"/>
      <c r="G18" s="12">
        <v>4.29</v>
      </c>
      <c r="H18" s="12">
        <f>63.08/1000</f>
        <v>0.06308</v>
      </c>
      <c r="I18" s="12">
        <f>183.92/1000</f>
        <v>0.18392</v>
      </c>
      <c r="J18" s="18">
        <v>8.74</v>
      </c>
      <c r="K18" s="12"/>
      <c r="L18" s="12"/>
      <c r="M18" s="12"/>
      <c r="N18" s="12"/>
      <c r="O18" s="12"/>
      <c r="P18" s="12"/>
      <c r="Q18" s="12"/>
      <c r="R18" s="12"/>
      <c r="S18" s="2"/>
      <c r="T18" s="2"/>
      <c r="U18" s="2"/>
      <c r="V18" s="2"/>
      <c r="W18" s="2"/>
    </row>
    <row r="19" ht="16.5" customHeight="1" spans="1:2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16.5" customHeight="1" spans="1:2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6.5" customHeight="1" spans="1:23" x14ac:dyDescent="0.25">
      <c r="A21" s="2"/>
      <c r="B21" s="54"/>
      <c r="C21" s="2"/>
      <c r="D21" s="2"/>
      <c r="E21" s="2"/>
      <c r="F21" s="2"/>
      <c r="G21" s="55"/>
      <c r="H21" s="5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6.5" customHeight="1" spans="1:2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6.5" customHeight="1" spans="1:2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6.5" customHeight="1" spans="1:2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6.5" customHeight="1" spans="1:2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6.5" customHeight="1" spans="1:23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6.5" customHeight="1" spans="1:23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6.5" customHeight="1" spans="1:23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6.5" customHeight="1" spans="1:23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6.5" customHeight="1" spans="1:2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6.5" customHeight="1" spans="1:2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6.5" customHeight="1" spans="1:2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6.5" customHeight="1" spans="1:2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6.5" customHeight="1" spans="1:2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6.5" customHeight="1" spans="1:2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6.5" customHeight="1" spans="1:23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6.5" customHeight="1" spans="1:23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6.5" customHeight="1" spans="1:23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6.5" customHeight="1" spans="1:23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6.5" customHeight="1" spans="1:23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6.5" customHeight="1" spans="1:23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6.5" customHeight="1" spans="1:23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6.5" customHeight="1" spans="1:23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6.5" customHeight="1" spans="1:23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6.5" customHeight="1" spans="1:23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6.5" customHeight="1" spans="1:23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6.5" customHeight="1" spans="1:23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6.5" customHeight="1" spans="1:23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6.5" customHeight="1" spans="1:23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6.5" customHeight="1" spans="1:23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6.5" customHeight="1" spans="1:23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6.5" customHeight="1" spans="1:23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6.5" customHeight="1" spans="1:23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6.5" customHeight="1" spans="1:23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6.5" customHeight="1" spans="1:23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6.5" customHeight="1" spans="1:23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6.5" customHeight="1" spans="1:23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6.5" customHeight="1" spans="1:23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6.5" customHeight="1" spans="1:23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6.5" customHeight="1" spans="1:23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6.5" customHeight="1" spans="1:23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6.5" customHeight="1" spans="1:23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6.5" customHeight="1" spans="1:23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6.5" customHeight="1" spans="1:23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6.5" customHeight="1" spans="1:23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6.5" customHeight="1" spans="1:23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6.5" customHeight="1" spans="1:23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6.5" customHeight="1" spans="1:23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6.5" customHeight="1" spans="1:23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6.5" customHeight="1" spans="1:23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6.5" customHeight="1" spans="1:23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6.5" customHeight="1" spans="1:23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6.5" customHeight="1" spans="1:23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6.5" customHeight="1" spans="1:23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6.5" customHeight="1" spans="1:23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6.5" customHeight="1" spans="1:23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6.5" customHeight="1" spans="1:23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6.5" customHeight="1" spans="1:23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6.5" customHeight="1" spans="1:23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6.5" customHeight="1" spans="1:23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6.5" customHeight="1" spans="1:23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6.5" customHeight="1" spans="1:23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6.5" customHeight="1" spans="1:23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6.5" customHeight="1" spans="1:23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6.5" customHeight="1" spans="1:23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6.5" customHeight="1" spans="1:23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6.5" customHeight="1" spans="1:23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6.5" customHeight="1" spans="1:23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6.5" customHeight="1" spans="1:23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6.5" customHeight="1" spans="1:23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6.5" customHeight="1" spans="1:23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6.5" customHeight="1" spans="1:23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6.5" customHeight="1" spans="1:23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6.5" customHeight="1" spans="1:23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6.5" customHeight="1" spans="1:23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6.5" customHeight="1" spans="1:23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6.5" customHeight="1" spans="1:23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6.5" customHeight="1" spans="1:23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6.5" customHeight="1" spans="1:23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6.5" customHeight="1" spans="1:23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6.5" customHeight="1" spans="1:23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6.5" customHeight="1" spans="1:23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6.5" customHeight="1" spans="1:23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6.5" customHeight="1" spans="1:23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6.5" customHeight="1" spans="1:23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6.5" customHeight="1" spans="1:23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6.5" customHeight="1" spans="1:23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6.5" customHeight="1" spans="1:23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6.5" customHeight="1" spans="1:23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6.5" customHeight="1" spans="1:23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6.5" customHeight="1" spans="1:23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6.5" customHeight="1" spans="1:23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6.5" customHeight="1" spans="1:23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6.5" customHeight="1" spans="1:23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6.5" customHeight="1" spans="1:23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6.5" customHeight="1" spans="1:23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6.5" customHeight="1" spans="1:23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6.5" customHeight="1" spans="1:23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6.5" customHeight="1" spans="1:23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6.5" customHeight="1" spans="1:23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6.5" customHeight="1" spans="1:23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6.5" customHeight="1" spans="1:23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6.5" customHeight="1" spans="1:23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6.5" customHeight="1" spans="1:23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6.5" customHeight="1" spans="1:23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6.5" customHeight="1" spans="1:23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6.5" customHeight="1" spans="1:23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6.5" customHeight="1" spans="1:23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6.5" customHeight="1" spans="1:23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6.5" customHeight="1" spans="1:23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6.5" customHeight="1" spans="1:23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6.5" customHeight="1" spans="1:23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6.5" customHeight="1" spans="1:23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6.5" customHeight="1" spans="1:23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6.5" customHeight="1" spans="1:23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6.5" customHeight="1" spans="1:23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6.5" customHeight="1" spans="1:23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6.5" customHeight="1" spans="1:23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6.5" customHeight="1" spans="1:23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6.5" customHeight="1" spans="1:23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6.5" customHeight="1" spans="1:23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6.5" customHeight="1" spans="1:23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6.5" customHeight="1" spans="1:23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6.5" customHeight="1" spans="1:23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6.5" customHeight="1" spans="1:23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6.5" customHeight="1" spans="1:23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6.5" customHeight="1" spans="1:23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6.5" customHeight="1" spans="1:23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6.5" customHeight="1" spans="1:23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6.5" customHeight="1" spans="1:23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6.5" customHeight="1" spans="1:23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6.5" customHeight="1" spans="1:23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6.5" customHeight="1" spans="1:23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6.5" customHeight="1" spans="1:23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6.5" customHeight="1" spans="1:23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6.5" customHeight="1" spans="1:23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6.5" customHeight="1" spans="1:23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6.5" customHeight="1" spans="1:23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6.5" customHeight="1" spans="1:23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6.5" customHeight="1" spans="1:23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6.5" customHeight="1" spans="1:23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6.5" customHeight="1" spans="1:23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6.5" customHeight="1" spans="1:23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6.5" customHeight="1" spans="1:23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6.5" customHeight="1" spans="1:23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6.5" customHeight="1" spans="1:23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6.5" customHeight="1" spans="1:23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6.5" customHeight="1" spans="1:23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6.5" customHeight="1" spans="1:23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6.5" customHeight="1" spans="1:23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6.5" customHeight="1" spans="1:23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6.5" customHeight="1" spans="1:23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6.5" customHeight="1" spans="1:23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6.5" customHeight="1" spans="1:23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6.5" customHeight="1" spans="1:23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6.5" customHeight="1" spans="1:23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6.5" customHeight="1" spans="1:23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6.5" customHeight="1" spans="1:23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6.5" customHeight="1" spans="1:23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6.5" customHeight="1" spans="1:23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6.5" customHeight="1" spans="1:23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6.5" customHeight="1" spans="1:23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6.5" customHeight="1" spans="1:23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6.5" customHeight="1" spans="1:23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6.5" customHeight="1" spans="1:23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6.5" customHeight="1" spans="1:23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6.5" customHeight="1" spans="1:23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6.5" customHeight="1" spans="1:23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6.5" customHeight="1" spans="1:23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6.5" customHeight="1" spans="1:23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6.5" customHeight="1" spans="1:23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6.5" customHeight="1" spans="1:23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6.5" customHeight="1" spans="1:23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6.5" customHeight="1" spans="1:23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6.5" customHeight="1" spans="1:23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6.5" customHeight="1" spans="1:23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6.5" customHeight="1" spans="1:23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6.5" customHeight="1" spans="1:23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6.5" customHeight="1" spans="1:23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6.5" customHeight="1" spans="1:23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6.5" customHeight="1" spans="1:23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6.5" customHeight="1" spans="1:23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6.5" customHeight="1" spans="1:23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6.5" customHeight="1" spans="1:23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6.5" customHeight="1" spans="1:23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6.5" customHeight="1" spans="1:23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6.5" customHeight="1" spans="1:23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6.5" customHeight="1" spans="1:23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6.5" customHeight="1" spans="1:23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6.5" customHeight="1" spans="1:23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6.5" customHeight="1" spans="1:23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6.5" customHeight="1" spans="1:23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6.5" customHeight="1" spans="1:23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6.5" customHeight="1" spans="1:23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6.5" customHeight="1" spans="1:23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6.5" customHeight="1" spans="1:23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6.5" customHeight="1" spans="1:23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6.5" customHeight="1" spans="1:23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6.5" customHeight="1" spans="1:23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6.5" customHeight="1" spans="1:23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6.5" customHeight="1" spans="1:23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6.5" customHeight="1" spans="1:23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6.5" customHeight="1" spans="1:23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6.5" customHeight="1" spans="1:23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6.5" customHeight="1" spans="1:23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6.5" customHeight="1" spans="1:23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6.5" customHeight="1" spans="1:23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6.5" customHeight="1" spans="1:23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6.5" customHeight="1" spans="1:23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6.5" customHeight="1" spans="1:23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6.5" customHeight="1" spans="1:23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6.5" customHeight="1" spans="1:23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6.5" customHeight="1" spans="1:23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6.5" customHeight="1" spans="1:23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6.5" customHeight="1" spans="1:23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6.5" customHeight="1" spans="1:23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6.5" customHeight="1" spans="1:23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6.5" customHeight="1" spans="1:23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6.5" customHeight="1" spans="1:23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6.5" customHeight="1" spans="1:23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6.5" customHeight="1" spans="1:23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6.5" customHeight="1" spans="1:23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6.5" customHeight="1" spans="1:23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6.5" customHeight="1" spans="1:23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6.5" customHeight="1" spans="1:23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6.5" customHeight="1" spans="1:23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6.5" customHeight="1" spans="1:23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6.5" customHeight="1" spans="1:23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6.5" customHeight="1" spans="1:23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6.5" customHeight="1" spans="1:23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6.5" customHeight="1" spans="1:23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6.5" customHeight="1" spans="1:23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6.5" customHeight="1" spans="1:23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6.5" customHeight="1" spans="1:23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6.5" customHeight="1" spans="1:23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6.5" customHeight="1" spans="1:23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6.5" customHeight="1" spans="1:23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6.5" customHeight="1" spans="1:23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6.5" customHeight="1" spans="1:23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6.5" customHeight="1" spans="1:23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6.5" customHeight="1" spans="1:23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6.5" customHeight="1" spans="1:23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6.5" customHeight="1" spans="1:23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6.5" customHeight="1" spans="1:23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6.5" customHeight="1" spans="1:23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6.5" customHeight="1" spans="1:23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6.5" customHeight="1" spans="1:23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6.5" customHeight="1" spans="1:23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6.5" customHeight="1" spans="1:23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6.5" customHeight="1" spans="1:23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6.5" customHeight="1" spans="1:23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6.5" customHeight="1" spans="1:23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6.5" customHeight="1" spans="1:23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6.5" customHeight="1" spans="1:23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6.5" customHeight="1" spans="1:23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6.5" customHeight="1" spans="1:23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6.5" customHeight="1" spans="1:23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6.5" customHeight="1" spans="1:23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6.5" customHeight="1" spans="1:23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6.5" customHeight="1" spans="1:23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6.5" customHeight="1" spans="1:23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6.5" customHeight="1" spans="1:23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6.5" customHeight="1" spans="1:23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6.5" customHeight="1" spans="1:23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6.5" customHeight="1" spans="1:23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6.5" customHeight="1" spans="1:23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6.5" customHeight="1" spans="1:23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6.5" customHeight="1" spans="1:23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6.5" customHeight="1" spans="1:23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6.5" customHeight="1" spans="1:23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6.5" customHeight="1" spans="1:23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6.5" customHeight="1" spans="1:23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6.5" customHeight="1" spans="1:23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6.5" customHeight="1" spans="1:23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6.5" customHeight="1" spans="1:23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6.5" customHeight="1" spans="1:23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6.5" customHeight="1" spans="1:23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6.5" customHeight="1" spans="1:23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6.5" customHeight="1" spans="1:23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6.5" customHeight="1" spans="1:23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6.5" customHeight="1" spans="1:23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6.5" customHeight="1" spans="1:23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6.5" customHeight="1" spans="1:23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6.5" customHeight="1" spans="1:23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6.5" customHeight="1" spans="1:23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6.5" customHeight="1" spans="1:23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6.5" customHeight="1" spans="1:23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6.5" customHeight="1" spans="1:23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6.5" customHeight="1" spans="1:23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6.5" customHeight="1" spans="1:23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6.5" customHeight="1" spans="1:23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6.5" customHeight="1" spans="1:23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6.5" customHeight="1" spans="1:23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6.5" customHeight="1" spans="1:23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6.5" customHeight="1" spans="1:23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6.5" customHeight="1" spans="1:23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6.5" customHeight="1" spans="1:23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6.5" customHeight="1" spans="1:23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6.5" customHeight="1" spans="1:23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6.5" customHeight="1" spans="1:23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6.5" customHeight="1" spans="1:23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6.5" customHeight="1" spans="1:23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6.5" customHeight="1" spans="1:23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6.5" customHeight="1" spans="1:23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6.5" customHeight="1" spans="1:23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6.5" customHeight="1" spans="1:23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6.5" customHeight="1" spans="1:23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6.5" customHeight="1" spans="1:23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6.5" customHeight="1" spans="1:23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6.5" customHeight="1" spans="1:23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6.5" customHeight="1" spans="1:23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6.5" customHeight="1" spans="1:23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6.5" customHeight="1" spans="1:23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6.5" customHeight="1" spans="1:23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6.5" customHeight="1" spans="1:23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6.5" customHeight="1" spans="1:23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6.5" customHeight="1" spans="1:23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6.5" customHeight="1" spans="1:23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6.5" customHeight="1" spans="1:23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6.5" customHeight="1" spans="1:23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6.5" customHeight="1" spans="1:23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6.5" customHeight="1" spans="1:23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6.5" customHeight="1" spans="1:23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6.5" customHeight="1" spans="1:23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6.5" customHeight="1" spans="1:23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6.5" customHeight="1" spans="1:23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6.5" customHeight="1" spans="1:23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6.5" customHeight="1" spans="1:23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6.5" customHeight="1" spans="1:23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6.5" customHeight="1" spans="1:23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6.5" customHeight="1" spans="1:23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6.5" customHeight="1" spans="1:23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6.5" customHeight="1" spans="1:23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6.5" customHeight="1" spans="1:23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6.5" customHeight="1" spans="1:23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6.5" customHeight="1" spans="1:23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6.5" customHeight="1" spans="1:23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6.5" customHeight="1" spans="1:23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6.5" customHeight="1" spans="1:23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6.5" customHeight="1" spans="1:23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6.5" customHeight="1" spans="1:23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6.5" customHeight="1" spans="1:23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6.5" customHeight="1" spans="1:23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6.5" customHeight="1" spans="1:23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6.5" customHeight="1" spans="1:23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6.5" customHeight="1" spans="1:23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6.5" customHeight="1" spans="1:23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6.5" customHeight="1" spans="1:23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6.5" customHeight="1" spans="1:23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6.5" customHeight="1" spans="1:23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6.5" customHeight="1" spans="1:23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6.5" customHeight="1" spans="1:23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6.5" customHeight="1" spans="1:23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6.5" customHeight="1" spans="1:23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6.5" customHeight="1" spans="1:23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6.5" customHeight="1" spans="1:23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6.5" customHeight="1" spans="1:23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6.5" customHeight="1" spans="1:23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6.5" customHeight="1" spans="1:23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6.5" customHeight="1" spans="1:23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6.5" customHeight="1" spans="1:23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6.5" customHeight="1" spans="1:23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6.5" customHeight="1" spans="1:23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6.5" customHeight="1" spans="1:23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6.5" customHeight="1" spans="1:23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6.5" customHeight="1" spans="1:23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6.5" customHeight="1" spans="1:23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6.5" customHeight="1" spans="1:23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6.5" customHeight="1" spans="1:23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6.5" customHeight="1" spans="1:23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6.5" customHeight="1" spans="1:23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6.5" customHeight="1" spans="1:23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6.5" customHeight="1" spans="1:23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6.5" customHeight="1" spans="1:23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6.5" customHeight="1" spans="1:23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6.5" customHeight="1" spans="1:23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6.5" customHeight="1" spans="1:23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6.5" customHeight="1" spans="1:23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6.5" customHeight="1" spans="1:23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6.5" customHeight="1" spans="1:23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6.5" customHeight="1" spans="1:23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6.5" customHeight="1" spans="1:23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6.5" customHeight="1" spans="1:23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6.5" customHeight="1" spans="1:23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6.5" customHeight="1" spans="1:23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6.5" customHeight="1" spans="1:23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6.5" customHeight="1" spans="1:23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6.5" customHeight="1" spans="1:23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6.5" customHeight="1" spans="1:23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6.5" customHeight="1" spans="1:23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6.5" customHeight="1" spans="1:23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6.5" customHeight="1" spans="1:23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6.5" customHeight="1" spans="1:23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6.5" customHeight="1" spans="1:23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6.5" customHeight="1" spans="1:23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6.5" customHeight="1" spans="1:23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6.5" customHeight="1" spans="1:23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6.5" customHeight="1" spans="1:23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6.5" customHeight="1" spans="1:23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6.5" customHeight="1" spans="1:23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6.5" customHeight="1" spans="1:23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6.5" customHeight="1" spans="1:23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6.5" customHeight="1" spans="1:23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6.5" customHeight="1" spans="1:23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6.5" customHeight="1" spans="1:23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6.5" customHeight="1" spans="1:23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6.5" customHeight="1" spans="1:23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6.5" customHeight="1" spans="1:23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6.5" customHeight="1" spans="1:23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6.5" customHeight="1" spans="1:23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6.5" customHeight="1" spans="1:23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6.5" customHeight="1" spans="1:23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6.5" customHeight="1" spans="1:23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6.5" customHeight="1" spans="1:23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6.5" customHeight="1" spans="1:23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6.5" customHeight="1" spans="1:23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6.5" customHeight="1" spans="1:23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6.5" customHeight="1" spans="1:23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6.5" customHeight="1" spans="1:23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6.5" customHeight="1" spans="1:23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6.5" customHeight="1" spans="1:23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6.5" customHeight="1" spans="1:23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6.5" customHeight="1" spans="1:23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6.5" customHeight="1" spans="1:23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6.5" customHeight="1" spans="1:23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6.5" customHeight="1" spans="1:23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6.5" customHeight="1" spans="1:23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6.5" customHeight="1" spans="1:23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6.5" customHeight="1" spans="1:23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6.5" customHeight="1" spans="1:23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6.5" customHeight="1" spans="1:23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6.5" customHeight="1" spans="1:23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6.5" customHeight="1" spans="1:23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6.5" customHeight="1" spans="1:23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6.5" customHeight="1" spans="1:23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6.5" customHeight="1" spans="1:23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6.5" customHeight="1" spans="1:23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6.5" customHeight="1" spans="1:23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6.5" customHeight="1" spans="1:23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6.5" customHeight="1" spans="1:23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6.5" customHeight="1" spans="1:23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6.5" customHeight="1" spans="1:23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6.5" customHeight="1" spans="1:23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6.5" customHeight="1" spans="1:23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6.5" customHeight="1" spans="1:23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6.5" customHeight="1" spans="1:23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6.5" customHeight="1" spans="1:23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6.5" customHeight="1" spans="1:23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6.5" customHeight="1" spans="1:23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6.5" customHeight="1" spans="1:23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6.5" customHeight="1" spans="1:23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6.5" customHeight="1" spans="1:23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6.5" customHeight="1" spans="1:23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6.5" customHeight="1" spans="1:23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6.5" customHeight="1" spans="1:23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6.5" customHeight="1" spans="1:23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6.5" customHeight="1" spans="1:23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6.5" customHeight="1" spans="1:23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6.5" customHeight="1" spans="1:23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6.5" customHeight="1" spans="1:23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6.5" customHeight="1" spans="1:23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6.5" customHeight="1" spans="1:23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6.5" customHeight="1" spans="1:23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6.5" customHeight="1" spans="1:23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6.5" customHeight="1" spans="1:23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6.5" customHeight="1" spans="1:23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6.5" customHeight="1" spans="1:23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6.5" customHeight="1" spans="1:23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6.5" customHeight="1" spans="1:23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6.5" customHeight="1" spans="1:23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6.5" customHeight="1" spans="1:23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6.5" customHeight="1" spans="1:23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6.5" customHeight="1" spans="1:23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6.5" customHeight="1" spans="1:23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6.5" customHeight="1" spans="1:23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6.5" customHeight="1" spans="1:23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6.5" customHeight="1" spans="1:23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6.5" customHeight="1" spans="1:23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6.5" customHeight="1" spans="1:23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6.5" customHeight="1" spans="1:23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6.5" customHeight="1" spans="1:23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6.5" customHeight="1" spans="1:23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6.5" customHeight="1" spans="1:23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6.5" customHeight="1" spans="1:23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6.5" customHeight="1" spans="1:23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6.5" customHeight="1" spans="1:23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6.5" customHeight="1" spans="1:23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6.5" customHeight="1" spans="1:23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6.5" customHeight="1" spans="1:23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6.5" customHeight="1" spans="1:23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6.5" customHeight="1" spans="1:23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6.5" customHeight="1" spans="1:23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6.5" customHeight="1" spans="1:23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6.5" customHeight="1" spans="1:23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6.5" customHeight="1" spans="1:23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6.5" customHeight="1" spans="1:23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6.5" customHeight="1" spans="1:23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6.5" customHeight="1" spans="1:23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6.5" customHeight="1" spans="1:23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6.5" customHeight="1" spans="1:23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6.5" customHeight="1" spans="1:23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6.5" customHeight="1" spans="1:23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6.5" customHeight="1" spans="1:23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6.5" customHeight="1" spans="1:23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6.5" customHeight="1" spans="1:23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6.5" customHeight="1" spans="1:23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6.5" customHeight="1" spans="1:23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6.5" customHeight="1" spans="1:23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6.5" customHeight="1" spans="1:23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6.5" customHeight="1" spans="1:23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6.5" customHeight="1" spans="1:23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6.5" customHeight="1" spans="1:23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6.5" customHeight="1" spans="1:23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6.5" customHeight="1" spans="1:23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6.5" customHeight="1" spans="1:23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6.5" customHeight="1" spans="1:23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6.5" customHeight="1" spans="1:23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6.5" customHeight="1" spans="1:23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6.5" customHeight="1" spans="1:23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6.5" customHeight="1" spans="1:23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6.5" customHeight="1" spans="1:23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6.5" customHeight="1" spans="1:23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6.5" customHeight="1" spans="1:23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6.5" customHeight="1" spans="1:23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6.5" customHeight="1" spans="1:23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6.5" customHeight="1" spans="1:23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6.5" customHeight="1" spans="1:23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6.5" customHeight="1" spans="1:23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6.5" customHeight="1" spans="1:23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6.5" customHeight="1" spans="1:23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6.5" customHeight="1" spans="1:23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6.5" customHeight="1" spans="1:23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6.5" customHeight="1" spans="1:23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6.5" customHeight="1" spans="1:23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6.5" customHeight="1" spans="1:23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6.5" customHeight="1" spans="1:23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6.5" customHeight="1" spans="1:23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6.5" customHeight="1" spans="1:23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6.5" customHeight="1" spans="1:23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6.5" customHeight="1" spans="1:23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6.5" customHeight="1" spans="1:23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6.5" customHeight="1" spans="1:23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6.5" customHeight="1" spans="1:23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6.5" customHeight="1" spans="1:23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6.5" customHeight="1" spans="1:23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6.5" customHeight="1" spans="1:23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6.5" customHeight="1" spans="1:23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6.5" customHeight="1" spans="1:23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6.5" customHeight="1" spans="1:23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6.5" customHeight="1" spans="1:23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6.5" customHeight="1" spans="1:23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6.5" customHeight="1" spans="1:23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6.5" customHeight="1" spans="1:23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6.5" customHeight="1" spans="1:23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6.5" customHeight="1" spans="1:23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6.5" customHeight="1" spans="1:23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6.5" customHeight="1" spans="1:23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6.5" customHeight="1" spans="1:23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6.5" customHeight="1" spans="1:23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6.5" customHeight="1" spans="1:23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6.5" customHeight="1" spans="1:23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6.5" customHeight="1" spans="1:23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6.5" customHeight="1" spans="1:23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6.5" customHeight="1" spans="1:23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6.5" customHeight="1" spans="1:23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6.5" customHeight="1" spans="1:23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6.5" customHeight="1" spans="1:23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6.5" customHeight="1" spans="1:23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6.5" customHeight="1" spans="1:23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6.5" customHeight="1" spans="1:23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6.5" customHeight="1" spans="1:23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6.5" customHeight="1" spans="1:23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6.5" customHeight="1" spans="1:23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6.5" customHeight="1" spans="1:23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6.5" customHeight="1" spans="1:23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6.5" customHeight="1" spans="1:23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6.5" customHeight="1" spans="1:23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6.5" customHeight="1" spans="1:23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6.5" customHeight="1" spans="1:23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6.5" customHeight="1" spans="1:23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6.5" customHeight="1" spans="1:23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6.5" customHeight="1" spans="1:23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6.5" customHeight="1" spans="1:23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6.5" customHeight="1" spans="1:23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6.5" customHeight="1" spans="1:23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6.5" customHeight="1" spans="1:23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6.5" customHeight="1" spans="1:23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6.5" customHeight="1" spans="1:23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6.5" customHeight="1" spans="1:23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6.5" customHeight="1" spans="1:23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6.5" customHeight="1" spans="1:23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6.5" customHeight="1" spans="1:23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6.5" customHeight="1" spans="1:23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6.5" customHeight="1" spans="1:23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6.5" customHeight="1" spans="1:23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6.5" customHeight="1" spans="1:23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6.5" customHeight="1" spans="1:23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6.5" customHeight="1" spans="1:23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6.5" customHeight="1" spans="1:23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6.5" customHeight="1" spans="1:23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6.5" customHeight="1" spans="1:23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6.5" customHeight="1" spans="1:23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6.5" customHeight="1" spans="1:23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6.5" customHeight="1" spans="1:23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6.5" customHeight="1" spans="1:23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6.5" customHeight="1" spans="1:23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6.5" customHeight="1" spans="1:23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6.5" customHeight="1" spans="1:23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6.5" customHeight="1" spans="1:23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6.5" customHeight="1" spans="1:23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6.5" customHeight="1" spans="1:23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6.5" customHeight="1" spans="1:23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6.5" customHeight="1" spans="1:23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6.5" customHeight="1" spans="1:23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6.5" customHeight="1" spans="1:23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6.5" customHeight="1" spans="1:23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6.5" customHeight="1" spans="1:23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6.5" customHeight="1" spans="1:23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6.5" customHeight="1" spans="1:23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6.5" customHeight="1" spans="1:23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6.5" customHeight="1" spans="1:23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6.5" customHeight="1" spans="1:23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6.5" customHeight="1" spans="1:23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6.5" customHeight="1" spans="1:23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6.5" customHeight="1" spans="1:23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6.5" customHeight="1" spans="1:23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6.5" customHeight="1" spans="1:23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6.5" customHeight="1" spans="1:23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6.5" customHeight="1" spans="1:23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6.5" customHeight="1" spans="1:23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6.5" customHeight="1" spans="1:23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6.5" customHeight="1" spans="1:23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6.5" customHeight="1" spans="1:23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6.5" customHeight="1" spans="1:23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6.5" customHeight="1" spans="1:23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6.5" customHeight="1" spans="1:23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6.5" customHeight="1" spans="1:23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6.5" customHeight="1" spans="1:23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6.5" customHeight="1" spans="1:23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6.5" customHeight="1" spans="1:23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6.5" customHeight="1" spans="1:23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6.5" customHeight="1" spans="1:23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6.5" customHeight="1" spans="1:23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6.5" customHeight="1" spans="1:23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6.5" customHeight="1" spans="1:23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6.5" customHeight="1" spans="1:23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6.5" customHeight="1" spans="1:23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6.5" customHeight="1" spans="1:23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6.5" customHeight="1" spans="1:23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6.5" customHeight="1" spans="1:23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6.5" customHeight="1" spans="1:23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6.5" customHeight="1" spans="1:23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6.5" customHeight="1" spans="1:23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6.5" customHeight="1" spans="1:23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6.5" customHeight="1" spans="1:23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6.5" customHeight="1" spans="1:23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6.5" customHeight="1" spans="1:23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6.5" customHeight="1" spans="1:23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6.5" customHeight="1" spans="1:23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6.5" customHeight="1" spans="1:23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6.5" customHeight="1" spans="1:23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6.5" customHeight="1" spans="1:23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6.5" customHeight="1" spans="1:23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6.5" customHeight="1" spans="1:23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6.5" customHeight="1" spans="1:23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6.5" customHeight="1" spans="1:23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6.5" customHeight="1" spans="1:23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6.5" customHeight="1" spans="1:23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6.5" customHeight="1" spans="1:23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6.5" customHeight="1" spans="1:23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6.5" customHeight="1" spans="1:23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6.5" customHeight="1" spans="1:23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6.5" customHeight="1" spans="1:23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6.5" customHeight="1" spans="1:23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6.5" customHeight="1" spans="1:23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6.5" customHeight="1" spans="1:23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6.5" customHeight="1" spans="1:23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6.5" customHeight="1" spans="1:23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6.5" customHeight="1" spans="1:23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6.5" customHeight="1" spans="1:23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6.5" customHeight="1" spans="1:23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6.5" customHeight="1" spans="1:23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6.5" customHeight="1" spans="1:23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6.5" customHeight="1" spans="1:23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6.5" customHeight="1" spans="1:23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6.5" customHeight="1" spans="1:23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6.5" customHeight="1" spans="1:23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6.5" customHeight="1" spans="1:23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6.5" customHeight="1" spans="1:23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6.5" customHeight="1" spans="1:23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6.5" customHeight="1" spans="1:23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6.5" customHeight="1" spans="1:23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6.5" customHeight="1" spans="1:23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6.5" customHeight="1" spans="1:23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6.5" customHeight="1" spans="1:23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6.5" customHeight="1" spans="1:23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6.5" customHeight="1" spans="1:23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6.5" customHeight="1" spans="1:23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6.5" customHeight="1" spans="1:23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6.5" customHeight="1" spans="1:23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6.5" customHeight="1" spans="1:23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6.5" customHeight="1" spans="1:23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6.5" customHeight="1" spans="1:23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6.5" customHeight="1" spans="1:23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6.5" customHeight="1" spans="1:23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6.5" customHeight="1" spans="1:23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6.5" customHeight="1" spans="1:23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6.5" customHeight="1" spans="1:23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6.5" customHeight="1" spans="1:23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6.5" customHeight="1" spans="1:23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6.5" customHeight="1" spans="1:23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6.5" customHeight="1" spans="1:23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6.5" customHeight="1" spans="1:23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6.5" customHeight="1" spans="1:23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6.5" customHeight="1" spans="1:23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6.5" customHeight="1" spans="1:23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6.5" customHeight="1" spans="1:23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6.5" customHeight="1" spans="1:23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6.5" customHeight="1" spans="1:23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6.5" customHeight="1" spans="1:23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6.5" customHeight="1" spans="1:23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6.5" customHeight="1" spans="1:23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6.5" customHeight="1" spans="1:23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6.5" customHeight="1" spans="1:23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6.5" customHeight="1" spans="1:23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6.5" customHeight="1" spans="1:23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6.5" customHeight="1" spans="1:23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6.5" customHeight="1" spans="1:23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6.5" customHeight="1" spans="1:23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6.5" customHeight="1" spans="1:23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6.5" customHeight="1" spans="1:23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6.5" customHeight="1" spans="1:23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6.5" customHeight="1" spans="1:23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6.5" customHeight="1" spans="1:23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6.5" customHeight="1" spans="1:23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6.5" customHeight="1" spans="1:23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6.5" customHeight="1" spans="1:23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6.5" customHeight="1" spans="1:23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6.5" customHeight="1" spans="1:23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6.5" customHeight="1" spans="1:23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6.5" customHeight="1" spans="1:23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6.5" customHeight="1" spans="1:23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6.5" customHeight="1" spans="1:23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6.5" customHeight="1" spans="1:23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6.5" customHeight="1" spans="1:23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6.5" customHeight="1" spans="1:23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6.5" customHeight="1" spans="1:23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6.5" customHeight="1" spans="1:23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6.5" customHeight="1" spans="1:23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6.5" customHeight="1" spans="1:23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6.5" customHeight="1" spans="1:23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6.5" customHeight="1" spans="1:23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6.5" customHeight="1" spans="1:23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6.5" customHeight="1" spans="1:23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6.5" customHeight="1" spans="1:23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6.5" customHeight="1" spans="1:23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6.5" customHeight="1" spans="1:23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6.5" customHeight="1" spans="1:23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6.5" customHeight="1" spans="1:23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6.5" customHeight="1" spans="1:23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6.5" customHeight="1" spans="1:23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6.5" customHeight="1" spans="1:23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6.5" customHeight="1" spans="1:23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6.5" customHeight="1" spans="1:23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6.5" customHeight="1" spans="1:23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6.5" customHeight="1" spans="1:23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6.5" customHeight="1" spans="1:23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6.5" customHeight="1" spans="1:23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6.5" customHeight="1" spans="1:23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6.5" customHeight="1" spans="1:23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6.5" customHeight="1" spans="1:23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6.5" customHeight="1" spans="1:23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6.5" customHeight="1" spans="1:23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6.5" customHeight="1" spans="1:23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6.5" customHeight="1" spans="1:23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6.5" customHeight="1" spans="1:23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6.5" customHeight="1" spans="1:23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6.5" customHeight="1" spans="1:23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6.5" customHeight="1" spans="1:23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6.5" customHeight="1" spans="1:23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6.5" customHeight="1" spans="1:23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6.5" customHeight="1" spans="1:23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6.5" customHeight="1" spans="1:23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6.5" customHeight="1" spans="1:23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6.5" customHeight="1" spans="1:23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6.5" customHeight="1" spans="1:23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6.5" customHeight="1" spans="1:23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6.5" customHeight="1" spans="1:23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6.5" customHeight="1" spans="1:23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6.5" customHeight="1" spans="1:23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6.5" customHeight="1" spans="1:23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6.5" customHeight="1" spans="1:23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6.5" customHeight="1" spans="1:23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6.5" customHeight="1" spans="1:23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6.5" customHeight="1" spans="1:23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6.5" customHeight="1" spans="1:23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6.5" customHeight="1" spans="1:23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6.5" customHeight="1" spans="1:23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6.5" customHeight="1" spans="1:23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6.5" customHeight="1" spans="1:23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6.5" customHeight="1" spans="1:23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6.5" customHeight="1" spans="1:23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6.5" customHeight="1" spans="1:23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6.5" customHeight="1" spans="1:23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6.5" customHeight="1" spans="1:23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6.5" customHeight="1" spans="1:23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6.5" customHeight="1" spans="1:23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6.5" customHeight="1" spans="1:23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6.5" customHeight="1" spans="1:23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6.5" customHeight="1" spans="1:23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6.5" customHeight="1" spans="1:23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6.5" customHeight="1" spans="1:23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6.5" customHeight="1" spans="1:23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6.5" customHeight="1" spans="1:23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6.5" customHeight="1" spans="1:23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6.5" customHeight="1" spans="1:23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6.5" customHeight="1" spans="1:23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6.5" customHeight="1" spans="1:23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6.5" customHeight="1" spans="1:23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6.5" customHeight="1" spans="1:23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6.5" customHeight="1" spans="1:23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6.5" customHeight="1" spans="1:23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6.5" customHeight="1" spans="1:23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6.5" customHeight="1" spans="1:23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6.5" customHeight="1" spans="1:23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6.5" customHeight="1" spans="1:23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6.5" customHeight="1" spans="1:23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6.5" customHeight="1" spans="1:23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6.5" customHeight="1" spans="1:23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6.5" customHeight="1" spans="1:23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6.5" customHeight="1" spans="1:23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6.5" customHeight="1" spans="1:23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6.5" customHeight="1" spans="1:23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6.5" customHeight="1" spans="1:23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6.5" customHeight="1" spans="1:23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6.5" customHeight="1" spans="1:23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6.5" customHeight="1" spans="1:23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6.5" customHeight="1" spans="1:23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6.5" customHeight="1" spans="1:23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6.5" customHeight="1" spans="1:23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6.5" customHeight="1" spans="1:23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6.5" customHeight="1" spans="1:23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6.5" customHeight="1" spans="1:23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6.5" customHeight="1" spans="1:23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6.5" customHeight="1" spans="1:23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6.5" customHeight="1" spans="1:23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6.5" customHeight="1" spans="1:23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6.5" customHeight="1" spans="1:23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6.5" customHeight="1" spans="1:23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6.5" customHeight="1" spans="1:23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6.5" customHeight="1" spans="1:23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6.5" customHeight="1" spans="1:23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6.5" customHeight="1" spans="1:23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6.5" customHeight="1" spans="1:23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6.5" customHeight="1" spans="1:23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6.5" customHeight="1" spans="1:23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6.5" customHeight="1" spans="1:23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6.5" customHeight="1" spans="1:23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6.5" customHeight="1" spans="1:23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6.5" customHeight="1" spans="1:23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6.5" customHeight="1" spans="1:23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6.5" customHeight="1" spans="1:23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6.5" customHeight="1" spans="1:23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6.5" customHeight="1" spans="1:23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6.5" customHeight="1" spans="1:23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6.5" customHeight="1" spans="1:23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6.5" customHeight="1" spans="1:23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6.5" customHeight="1" spans="1:23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6.5" customHeight="1" spans="1:23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6.5" customHeight="1" spans="1:23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6.5" customHeight="1" spans="1:23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6.5" customHeight="1" spans="1:23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6.5" customHeight="1" spans="1:23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6.5" customHeight="1" spans="1:23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6.5" customHeight="1" spans="1:23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6.5" customHeight="1" spans="1:23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6.5" customHeight="1" spans="1:23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6.5" customHeight="1" spans="1:23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6.5" customHeight="1" spans="1:23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6.5" customHeight="1" spans="1:23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6.5" customHeight="1" spans="1:23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6.5" customHeight="1" spans="1:23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6.5" customHeight="1" spans="1:23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6.5" customHeight="1" spans="1:23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6.5" customHeight="1" spans="1:23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6.5" customHeight="1" spans="1:23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6.5" customHeight="1" spans="1:23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6.5" customHeight="1" spans="1:23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6.5" customHeight="1" spans="1:23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6.5" customHeight="1" spans="1:23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6.5" customHeight="1" spans="1:23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6.5" customHeight="1" spans="1:23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6.5" customHeight="1" spans="1:23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6.5" customHeight="1" spans="1:23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6.5" customHeight="1" spans="1:23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6.5" customHeight="1" spans="1:23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6.5" customHeight="1" spans="1:23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6.5" customHeight="1" spans="1:23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6.5" customHeight="1" spans="1:23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6.5" customHeight="1" spans="1:23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6.5" customHeight="1" spans="1:23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6.5" customHeight="1" spans="1:23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6.5" customHeight="1" spans="1:23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6.5" customHeight="1" spans="1:23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16.5" customHeight="1" spans="1:23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16.5" customHeight="1" spans="1:23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16.5" customHeight="1" spans="1:23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16.5" customHeight="1" spans="1:23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16.5" customHeight="1" spans="1:23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16.5" customHeight="1" spans="1:23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16.5" customHeight="1" spans="1:23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16.5" customHeight="1" spans="1:23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16.5" customHeight="1" spans="1:23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16.5" customHeight="1" spans="1:23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16.5" customHeight="1" spans="1:23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16.5" customHeight="1" spans="1:23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16.5" customHeight="1" spans="1:23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16.5" customHeight="1" spans="1:23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16.5" customHeight="1" spans="1:23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16.5" customHeight="1" spans="1:23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16.5" customHeight="1" spans="1:23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16.5" customHeight="1" spans="1:23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16.5" customHeight="1" spans="1:23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16.5" customHeight="1" spans="1:23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16.5" customHeight="1" spans="1:23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16.5" customHeight="1" spans="1:23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16.5" customHeight="1" spans="1:23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16.5" customHeight="1" spans="1:23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16.5" customHeight="1" spans="1:23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16.5" customHeight="1" spans="1:23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16.5" customHeight="1" spans="1:23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16.5" customHeight="1" spans="1:23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16.5" customHeight="1" spans="1:23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16.5" customHeight="1" spans="1:23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16.5" customHeight="1" spans="1:23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16.5" customHeight="1" spans="1:23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16.5" customHeight="1" spans="1:23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16.5" customHeight="1" spans="1:23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16.5" customHeight="1" spans="1:23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16.5" customHeight="1" spans="1:23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16.5" customHeight="1" spans="1:23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16.5" customHeight="1" spans="1:23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16.5" customHeight="1" spans="1:23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16.5" customHeight="1" spans="1:23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16.5" customHeight="1" spans="1:23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16.5" customHeight="1" spans="1:23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16.5" customHeight="1" spans="1:23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16.5" customHeight="1" spans="1:23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16.5" customHeight="1" spans="1:23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16.5" customHeight="1" spans="1:23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16.5" customHeight="1" spans="1:23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16.5" customHeight="1" spans="1:23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16.5" customHeight="1" spans="1:23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16.5" customHeight="1" spans="1:23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16.5" customHeight="1" spans="1:23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16.5" customHeight="1" spans="1:23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16.5" customHeight="1" spans="1:23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16.5" customHeight="1" spans="1:23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16.5" customHeight="1" spans="1:23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16.5" customHeight="1" spans="1:23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</sheetData>
  <mergeCells count="6">
    <mergeCell ref="A3:A7"/>
    <mergeCell ref="B3:B5"/>
    <mergeCell ref="C3:C4"/>
    <mergeCell ref="B6:B7"/>
    <mergeCell ref="A8:A10"/>
    <mergeCell ref="B8:B9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HANS Traffic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</dc:creator>
  <cp:lastModifiedBy>lin ken</cp:lastModifiedBy>
  <dcterms:created xsi:type="dcterms:W3CDTF">2023-08-11T02:05:24Z</dcterms:created>
  <dcterms:modified xsi:type="dcterms:W3CDTF">2026-04-30T03:07:40Z</dcterms:modified>
</cp:coreProperties>
</file>